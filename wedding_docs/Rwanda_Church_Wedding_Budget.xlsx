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TIN'S LAB\Downloads\"/>
    </mc:Choice>
  </mc:AlternateContent>
  <xr:revisionPtr revIDLastSave="0" documentId="13_ncr:1_{AF9F8155-53C7-402E-95A6-14B6A3FC2EB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hurch Budget" sheetId="1" r:id="rId1"/>
    <sheet name="Questions for Church" sheetId="2" r:id="rId2"/>
  </sheets>
  <calcPr calcId="191029"/>
</workbook>
</file>

<file path=xl/calcChain.xml><?xml version="1.0" encoding="utf-8"?>
<calcChain xmlns="http://schemas.openxmlformats.org/spreadsheetml/2006/main">
  <c r="E15" i="1" l="1"/>
  <c r="E17" i="1" s="1"/>
  <c r="D15" i="1"/>
  <c r="D17" i="1" s="1"/>
  <c r="C15" i="1"/>
  <c r="C17" i="1" s="1"/>
  <c r="B15" i="1"/>
  <c r="B17" i="1" s="1"/>
</calcChain>
</file>

<file path=xl/sharedStrings.xml><?xml version="1.0" encoding="utf-8"?>
<sst xmlns="http://schemas.openxmlformats.org/spreadsheetml/2006/main" count="42" uniqueCount="42">
  <si>
    <t>RWANDA WEDDING: CHURCH SERVICE BUDGET</t>
  </si>
  <si>
    <t>Planning estimate only — confirm directly with your parish/church before paying.</t>
  </si>
  <si>
    <t>Cost item</t>
  </si>
  <si>
    <t>Catholic – low (RWF)</t>
  </si>
  <si>
    <t>Catholic – high (RWF)</t>
  </si>
  <si>
    <t>Other church / Gitwaza – low (RWF)</t>
  </si>
  <si>
    <t>Other church / Gitwaza – high (RWF)</t>
  </si>
  <si>
    <t>Notes / quote to confirm</t>
  </si>
  <si>
    <t>Church booking / facility contribution</t>
  </si>
  <si>
    <t>Ask whether rehearsal, cleaning and electricity are included</t>
  </si>
  <si>
    <t>Marriage preparation / counselling</t>
  </si>
  <si>
    <t>Catholic preparation is often longer; other churches vary</t>
  </si>
  <si>
    <t>Use the church’s stated policy; keep receipt</t>
  </si>
  <si>
    <t>Choir / worship team / organist</t>
  </si>
  <si>
    <t>May be optional or church-provided</t>
  </si>
  <si>
    <t>Sacristan / coordinator / attendants</t>
  </si>
  <si>
    <t>Ask if included in booking</t>
  </si>
  <si>
    <t>Banns, certificates &amp; administration</t>
  </si>
  <si>
    <t>Confirm documents and any transfer-letter costs</t>
  </si>
  <si>
    <t>Church flowers</t>
  </si>
  <si>
    <t>Can be reduced using simple altar/aisle arrangements</t>
  </si>
  <si>
    <t>Church décor (aisle, chairs, draping, signage)</t>
  </si>
  <si>
    <t>Optional; avoid duplicate décor with reception</t>
  </si>
  <si>
    <t>Sound system / livestream / video</t>
  </si>
  <si>
    <t>Only if not included</t>
  </si>
  <si>
    <t>Transport / small contingency</t>
  </si>
  <si>
    <t>Recommended reserve</t>
  </si>
  <si>
    <t>TOTAL</t>
  </si>
  <si>
    <t>Suggested working budget (with 10% buffer)</t>
  </si>
  <si>
    <t>Use a final church quotation to replace estimates</t>
  </si>
  <si>
    <t>Ask each church these questions before you decide</t>
  </si>
  <si>
    <t>Is there a fixed wedding-service fee or a voluntary contribution?</t>
  </si>
  <si>
    <t>What is included: priest/pastor, choir, sound, cleaning, rehearsal, coordinator?</t>
  </si>
  <si>
    <t>What documents and counselling are required, and what do they cost?</t>
  </si>
  <si>
    <t>Are flowers/decorations, photography and livestream allowed?</t>
  </si>
  <si>
    <t>What is the deposit, payment deadline and cancellation/refund policy?</t>
  </si>
  <si>
    <t>Is the date/time available and are there restrictions on Saturday or peak-season weddings?</t>
  </si>
  <si>
    <t>Church / pastor / priest offering (Amaturo)</t>
  </si>
  <si>
    <t>Photographers fee</t>
  </si>
  <si>
    <t>5000 RWF</t>
  </si>
  <si>
    <t>3000 RWF</t>
  </si>
  <si>
    <t>Some catholic churches charges photographers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</si>
</sst>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RWF&quot;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164" fontId="4" fillId="4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6.5" x14ac:dyDescent="0.3"/>
  <cols>
    <col min="1" max="1" width="34" style="4" customWidth="1"/>
    <col min="2" max="3" width="18" style="4" customWidth="1"/>
    <col min="4" max="5" width="24" style="4" customWidth="1"/>
    <col min="6" max="6" width="45" style="4" customWidth="1"/>
    <col min="7" max="16384" width="9.140625" style="4"/>
  </cols>
  <sheetData>
    <row r="1" spans="1:6" ht="54" x14ac:dyDescent="0.3">
      <c r="A1" s="3" t="s">
        <v>0</v>
      </c>
      <c r="B1" s="3"/>
      <c r="C1" s="3"/>
      <c r="D1" s="3"/>
      <c r="E1" s="3"/>
      <c r="F1" s="3"/>
    </row>
    <row r="2" spans="1:6" ht="49.5" x14ac:dyDescent="0.3">
      <c r="A2" s="5" t="s">
        <v>1</v>
      </c>
      <c r="B2" s="5"/>
      <c r="C2" s="5"/>
      <c r="D2" s="5"/>
      <c r="E2" s="5"/>
      <c r="F2" s="5"/>
    </row>
    <row r="3" spans="1:6" ht="28.5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33" x14ac:dyDescent="0.3">
      <c r="A4" s="5" t="s">
        <v>8</v>
      </c>
      <c r="B4" s="7">
        <v>50000</v>
      </c>
      <c r="C4" s="7">
        <v>200000</v>
      </c>
      <c r="D4" s="7">
        <v>50000</v>
      </c>
      <c r="E4" s="7">
        <v>200000</v>
      </c>
      <c r="F4" s="5" t="s">
        <v>9</v>
      </c>
    </row>
    <row r="5" spans="1:6" ht="33" x14ac:dyDescent="0.3">
      <c r="A5" s="5" t="s">
        <v>10</v>
      </c>
      <c r="B5" s="7">
        <v>20000</v>
      </c>
      <c r="C5" s="7">
        <v>50000</v>
      </c>
      <c r="D5" s="7">
        <v>10000</v>
      </c>
      <c r="E5" s="7">
        <v>50000</v>
      </c>
      <c r="F5" s="5" t="s">
        <v>11</v>
      </c>
    </row>
    <row r="6" spans="1:6" ht="33" x14ac:dyDescent="0.3">
      <c r="A6" s="5" t="s">
        <v>37</v>
      </c>
      <c r="B6" s="7">
        <v>30000</v>
      </c>
      <c r="C6" s="7">
        <v>100000</v>
      </c>
      <c r="D6" s="7">
        <v>30000</v>
      </c>
      <c r="E6" s="7">
        <v>150000</v>
      </c>
      <c r="F6" s="5" t="s">
        <v>12</v>
      </c>
    </row>
    <row r="7" spans="1:6" ht="33" x14ac:dyDescent="0.3">
      <c r="A7" s="5" t="s">
        <v>13</v>
      </c>
      <c r="B7" s="7">
        <v>50000</v>
      </c>
      <c r="C7" s="7">
        <v>150000</v>
      </c>
      <c r="D7" s="7">
        <v>30000</v>
      </c>
      <c r="E7" s="7">
        <v>150000</v>
      </c>
      <c r="F7" s="5" t="s">
        <v>14</v>
      </c>
    </row>
    <row r="8" spans="1:6" ht="33" x14ac:dyDescent="0.3">
      <c r="A8" s="5" t="s">
        <v>15</v>
      </c>
      <c r="B8" s="7">
        <v>20000</v>
      </c>
      <c r="C8" s="7">
        <v>60000</v>
      </c>
      <c r="D8" s="7">
        <v>10000</v>
      </c>
      <c r="E8" s="7">
        <v>50000</v>
      </c>
      <c r="F8" s="5" t="s">
        <v>16</v>
      </c>
    </row>
    <row r="9" spans="1:6" ht="33" x14ac:dyDescent="0.3">
      <c r="A9" s="5" t="s">
        <v>17</v>
      </c>
      <c r="B9" s="7">
        <v>10000</v>
      </c>
      <c r="C9" s="7">
        <v>30000</v>
      </c>
      <c r="D9" s="7">
        <v>5000</v>
      </c>
      <c r="E9" s="7">
        <v>30000</v>
      </c>
      <c r="F9" s="5" t="s">
        <v>18</v>
      </c>
    </row>
    <row r="10" spans="1:6" ht="33" x14ac:dyDescent="0.3">
      <c r="A10" s="5" t="s">
        <v>19</v>
      </c>
      <c r="B10" s="7">
        <v>100000</v>
      </c>
      <c r="C10" s="7">
        <v>300000</v>
      </c>
      <c r="D10" s="7">
        <v>100000</v>
      </c>
      <c r="E10" s="7">
        <v>300000</v>
      </c>
      <c r="F10" s="5" t="s">
        <v>20</v>
      </c>
    </row>
    <row r="11" spans="1:6" ht="33" x14ac:dyDescent="0.3">
      <c r="A11" s="5" t="s">
        <v>21</v>
      </c>
      <c r="B11" s="7">
        <v>150000</v>
      </c>
      <c r="C11" s="7">
        <v>500000</v>
      </c>
      <c r="D11" s="7">
        <v>100000</v>
      </c>
      <c r="E11" s="7">
        <v>500000</v>
      </c>
      <c r="F11" s="5" t="s">
        <v>22</v>
      </c>
    </row>
    <row r="12" spans="1:6" ht="33" x14ac:dyDescent="0.3">
      <c r="A12" s="5" t="s">
        <v>23</v>
      </c>
      <c r="B12" s="7">
        <v>0</v>
      </c>
      <c r="C12" s="7">
        <v>150000</v>
      </c>
      <c r="D12" s="7">
        <v>0</v>
      </c>
      <c r="E12" s="7">
        <v>150000</v>
      </c>
      <c r="F12" s="5" t="s">
        <v>24</v>
      </c>
    </row>
    <row r="13" spans="1:6" ht="33" x14ac:dyDescent="0.3">
      <c r="A13" s="5" t="s">
        <v>38</v>
      </c>
      <c r="B13" s="7" t="s">
        <v>40</v>
      </c>
      <c r="C13" s="7" t="s">
        <v>39</v>
      </c>
      <c r="D13" s="7">
        <v>0</v>
      </c>
      <c r="E13" s="7">
        <v>0</v>
      </c>
      <c r="F13" s="5" t="s">
        <v>41</v>
      </c>
    </row>
    <row r="14" spans="1:6" x14ac:dyDescent="0.3">
      <c r="A14" s="5" t="s">
        <v>25</v>
      </c>
      <c r="B14" s="7">
        <v>50000</v>
      </c>
      <c r="C14" s="7">
        <v>150000</v>
      </c>
      <c r="D14" s="7">
        <v>50000</v>
      </c>
      <c r="E14" s="7">
        <v>150000</v>
      </c>
      <c r="F14" s="5" t="s">
        <v>26</v>
      </c>
    </row>
    <row r="15" spans="1:6" x14ac:dyDescent="0.3">
      <c r="A15" s="8" t="s">
        <v>27</v>
      </c>
      <c r="B15" s="9">
        <f>SUM(B4:B14)</f>
        <v>480000</v>
      </c>
      <c r="C15" s="9">
        <f>SUM(C4:C14)</f>
        <v>1690000</v>
      </c>
      <c r="D15" s="9">
        <f>SUM(D4:D14)</f>
        <v>385000</v>
      </c>
      <c r="E15" s="9">
        <f>SUM(E4:E14)</f>
        <v>1730000</v>
      </c>
      <c r="F15" s="8"/>
    </row>
    <row r="16" spans="1:6" x14ac:dyDescent="0.3">
      <c r="A16" s="5"/>
      <c r="B16" s="7"/>
      <c r="C16" s="7"/>
      <c r="D16" s="7"/>
      <c r="E16" s="7"/>
      <c r="F16" s="5"/>
    </row>
    <row r="17" spans="1:6" ht="28.5" x14ac:dyDescent="0.3">
      <c r="A17" s="8" t="s">
        <v>28</v>
      </c>
      <c r="B17" s="9">
        <f>B15*1.1</f>
        <v>528000</v>
      </c>
      <c r="C17" s="9">
        <f>C15*1.1</f>
        <v>1859000.0000000002</v>
      </c>
      <c r="D17" s="9">
        <f>D15*1.1</f>
        <v>423500.00000000006</v>
      </c>
      <c r="E17" s="9">
        <f>E15*1.1</f>
        <v>1903000.0000000002</v>
      </c>
      <c r="F17" s="8" t="s">
        <v>29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25">
      <c r="A1" s="1" t="s">
        <v>30</v>
      </c>
    </row>
    <row r="2" spans="1:1" x14ac:dyDescent="0.25">
      <c r="A2" s="2" t="s">
        <v>31</v>
      </c>
    </row>
    <row r="3" spans="1:1" x14ac:dyDescent="0.25">
      <c r="A3" s="2" t="s">
        <v>32</v>
      </c>
    </row>
    <row r="4" spans="1:1" x14ac:dyDescent="0.25">
      <c r="A4" s="2" t="s">
        <v>33</v>
      </c>
    </row>
    <row r="5" spans="1:1" x14ac:dyDescent="0.25">
      <c r="A5" s="2" t="s">
        <v>34</v>
      </c>
    </row>
    <row r="6" spans="1:1" x14ac:dyDescent="0.25">
      <c r="A6" s="2" t="s">
        <v>35</v>
      </c>
    </row>
    <row r="7" spans="1:1" x14ac:dyDescent="0.25">
      <c r="A7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Church Budget</vt:lpstr>
      <vt:lpstr>Questions for Church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MARTIN'S LAB</cp:lastModifiedBy>
  <dcterms:created xsi:type="dcterms:W3CDTF">2026-06-21T20:17:27Z</dcterms:created>
  <dcterms:modified xsi:type="dcterms:W3CDTF">2026-06-21T20:24:45Z</dcterms:modified>
</cp:coreProperties>
</file>