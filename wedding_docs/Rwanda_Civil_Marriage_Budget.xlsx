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RTIN'S LAB\Downloads\"/>
    </mc:Choice>
  </mc:AlternateContent>
  <xr:revisionPtr revIDLastSave="0" documentId="13_ncr:1_{9ABC959A-AF22-46DA-AA63-F50CFB11C7E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ivil Marriage Budget" sheetId="1" r:id="rId1"/>
    <sheet name="Summary" sheetId="2" r:id="rId2"/>
  </sheets>
  <calcPr calcId="191029"/>
</workbook>
</file>

<file path=xl/calcChain.xml><?xml version="1.0" encoding="utf-8"?>
<calcChain xmlns="http://schemas.openxmlformats.org/spreadsheetml/2006/main">
  <c r="B14" i="1" l="1"/>
  <c r="B15" i="1" s="1"/>
  <c r="B5" i="2" l="1"/>
  <c r="B4" i="2"/>
</calcChain>
</file>

<file path=xl/sharedStrings.xml><?xml version="1.0" encoding="utf-8"?>
<sst xmlns="http://schemas.openxmlformats.org/spreadsheetml/2006/main" count="36" uniqueCount="32">
  <si>
    <t>Rwandan Civil Marriage Budget (RWF)</t>
  </si>
  <si>
    <t>Item</t>
  </si>
  <si>
    <t>Estimated cost (RWF)</t>
  </si>
  <si>
    <t>Actual cost (RWF)</t>
  </si>
  <si>
    <t>Notes</t>
  </si>
  <si>
    <t>Official Irembo service; book at least 23 days ahead</t>
  </si>
  <si>
    <t>Marriage declaration – special day (not Thursday)</t>
  </si>
  <si>
    <t>Use this instead of Thursday line if applicable</t>
  </si>
  <si>
    <t>Marriage certificate / Acte de mariage</t>
  </si>
  <si>
    <t>Official Irembo fee shown for marriage record/certificate</t>
  </si>
  <si>
    <t>Irembo agent help (optional)</t>
  </si>
  <si>
    <t>Enter the amount charged locally</t>
  </si>
  <si>
    <t>Photocopies / printing</t>
  </si>
  <si>
    <t>IDs, supporting documents</t>
  </si>
  <si>
    <t>Passport photos (if requested)</t>
  </si>
  <si>
    <t>Optional</t>
  </si>
  <si>
    <t>Transport for couple + witnesses</t>
  </si>
  <si>
    <t>Adjust for your location</t>
  </si>
  <si>
    <t>Simple outfits / grooming</t>
  </si>
  <si>
    <t>Witness refreshments / lunch</t>
  </si>
  <si>
    <t>Small family celebration</t>
  </si>
  <si>
    <t>Contingency (10%)</t>
  </si>
  <si>
    <t>Keep for unexpected costs</t>
  </si>
  <si>
    <t>TOTAL</t>
  </si>
  <si>
    <t>Scenario</t>
  </si>
  <si>
    <t>Estimated total (RWF)</t>
  </si>
  <si>
    <t>Legal-only Thursday</t>
  </si>
  <si>
    <t>Legal-only special day</t>
  </si>
  <si>
    <t>Simple civil marriage (Thursday)</t>
  </si>
  <si>
    <t>Simple civil marriage (special day)</t>
  </si>
  <si>
    <t xml:space="preserve">Marriage declaration – Thursday </t>
  </si>
  <si>
    <t>Photos and Video (Highlights)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</si>
</sst>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pane ySplit="2" topLeftCell="A3" activePane="bottomLeft" state="frozen"/>
      <selection pane="bottomLeft" activeCell="C11" sqref="C11"/>
    </sheetView>
  </sheetViews>
  <sheetFormatPr defaultRowHeight="16.5" x14ac:dyDescent="0.3"/>
  <cols>
    <col min="1" max="1" width="64.5703125" style="4" customWidth="1"/>
    <col min="2" max="2" width="24" style="4" customWidth="1"/>
    <col min="3" max="3" width="22" style="4" customWidth="1"/>
    <col min="4" max="4" width="83.85546875" style="4" customWidth="1"/>
    <col min="5" max="16384" width="9.140625" style="4"/>
  </cols>
  <sheetData>
    <row r="1" spans="1:4" x14ac:dyDescent="0.3">
      <c r="A1" s="2" t="s">
        <v>0</v>
      </c>
      <c r="B1" s="3"/>
      <c r="C1" s="3"/>
      <c r="D1" s="3"/>
    </row>
    <row r="2" spans="1:4" x14ac:dyDescent="0.3">
      <c r="A2" s="5" t="s">
        <v>1</v>
      </c>
      <c r="B2" s="5" t="s">
        <v>2</v>
      </c>
      <c r="C2" s="5" t="s">
        <v>3</v>
      </c>
      <c r="D2" s="5" t="s">
        <v>4</v>
      </c>
    </row>
    <row r="3" spans="1:4" ht="17.25" customHeight="1" x14ac:dyDescent="0.3">
      <c r="A3" s="6" t="s">
        <v>30</v>
      </c>
      <c r="B3" s="6">
        <v>0</v>
      </c>
      <c r="C3" s="6"/>
      <c r="D3" s="6" t="s">
        <v>5</v>
      </c>
    </row>
    <row r="4" spans="1:4" ht="19.5" customHeight="1" x14ac:dyDescent="0.3">
      <c r="A4" s="6" t="s">
        <v>6</v>
      </c>
      <c r="B4" s="6">
        <v>50000</v>
      </c>
      <c r="C4" s="6"/>
      <c r="D4" s="6" t="s">
        <v>7</v>
      </c>
    </row>
    <row r="5" spans="1:4" ht="17.25" customHeight="1" x14ac:dyDescent="0.3">
      <c r="A5" s="6" t="s">
        <v>8</v>
      </c>
      <c r="B5" s="6">
        <v>2400</v>
      </c>
      <c r="C5" s="6"/>
      <c r="D5" s="6" t="s">
        <v>9</v>
      </c>
    </row>
    <row r="6" spans="1:4" x14ac:dyDescent="0.3">
      <c r="A6" s="6" t="s">
        <v>10</v>
      </c>
      <c r="B6" s="6">
        <v>4500</v>
      </c>
      <c r="C6" s="6"/>
      <c r="D6" s="6" t="s">
        <v>11</v>
      </c>
    </row>
    <row r="7" spans="1:4" x14ac:dyDescent="0.3">
      <c r="A7" s="6" t="s">
        <v>12</v>
      </c>
      <c r="B7" s="6">
        <v>5000</v>
      </c>
      <c r="C7" s="6"/>
      <c r="D7" s="6" t="s">
        <v>13</v>
      </c>
    </row>
    <row r="8" spans="1:4" x14ac:dyDescent="0.3">
      <c r="A8" s="6" t="s">
        <v>14</v>
      </c>
      <c r="B8" s="6">
        <v>10000</v>
      </c>
      <c r="C8" s="6"/>
      <c r="D8" s="6" t="s">
        <v>15</v>
      </c>
    </row>
    <row r="9" spans="1:4" x14ac:dyDescent="0.3">
      <c r="A9" s="6" t="s">
        <v>16</v>
      </c>
      <c r="B9" s="6">
        <v>100000</v>
      </c>
      <c r="C9" s="6"/>
      <c r="D9" s="6" t="s">
        <v>17</v>
      </c>
    </row>
    <row r="10" spans="1:4" x14ac:dyDescent="0.3">
      <c r="A10" s="6" t="s">
        <v>18</v>
      </c>
      <c r="B10" s="6">
        <v>100000</v>
      </c>
      <c r="C10" s="6"/>
      <c r="D10" s="6" t="s">
        <v>15</v>
      </c>
    </row>
    <row r="11" spans="1:4" x14ac:dyDescent="0.3">
      <c r="A11" s="6" t="s">
        <v>19</v>
      </c>
      <c r="B11" s="6">
        <v>80000</v>
      </c>
      <c r="C11" s="6"/>
      <c r="D11" s="6" t="s">
        <v>15</v>
      </c>
    </row>
    <row r="12" spans="1:4" x14ac:dyDescent="0.3">
      <c r="A12" s="6" t="s">
        <v>31</v>
      </c>
      <c r="B12" s="6">
        <v>200000</v>
      </c>
      <c r="C12" s="6"/>
      <c r="D12" s="6" t="s">
        <v>15</v>
      </c>
    </row>
    <row r="13" spans="1:4" x14ac:dyDescent="0.3">
      <c r="A13" s="6" t="s">
        <v>20</v>
      </c>
      <c r="B13" s="6">
        <v>200000</v>
      </c>
      <c r="C13" s="6"/>
      <c r="D13" s="6" t="s">
        <v>15</v>
      </c>
    </row>
    <row r="14" spans="1:4" x14ac:dyDescent="0.3">
      <c r="A14" s="6" t="s">
        <v>21</v>
      </c>
      <c r="B14" s="6">
        <f>SUM(B3:B13)*10%</f>
        <v>75190</v>
      </c>
      <c r="C14" s="6"/>
      <c r="D14" s="6" t="s">
        <v>22</v>
      </c>
    </row>
    <row r="15" spans="1:4" x14ac:dyDescent="0.3">
      <c r="A15" s="7" t="s">
        <v>23</v>
      </c>
      <c r="B15" s="7">
        <f>SUM(B3:B14)</f>
        <v>827090</v>
      </c>
      <c r="C15" s="7"/>
      <c r="D15" s="7"/>
    </row>
  </sheetData>
  <mergeCells count="1">
    <mergeCell ref="A1:D1"/>
  </mergeCells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1" width="42" customWidth="1"/>
    <col min="2" max="2" width="25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t="s">
        <v>26</v>
      </c>
      <c r="B2">
        <v>7400</v>
      </c>
    </row>
    <row r="3" spans="1:2" x14ac:dyDescent="0.25">
      <c r="A3" t="s">
        <v>27</v>
      </c>
      <c r="B3">
        <v>57400</v>
      </c>
    </row>
    <row r="4" spans="1:2" x14ac:dyDescent="0.25">
      <c r="A4" t="s">
        <v>28</v>
      </c>
      <c r="B4">
        <f>SUM('Civil Marriage Budget'!B3:B15)-'Civil Marriage Budget'!B4</f>
        <v>1604180</v>
      </c>
    </row>
    <row r="5" spans="1:2" x14ac:dyDescent="0.25">
      <c r="A5" t="s">
        <v>29</v>
      </c>
      <c r="B5">
        <f>SUM('Civil Marriage Budget'!B3:B15)-'Civil Marriage Budget'!B3</f>
        <v>1654180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Civil Marriage Budget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MARTIN'S LAB</cp:lastModifiedBy>
  <dcterms:created xsi:type="dcterms:W3CDTF">2026-06-21T20:03:04Z</dcterms:created>
  <dcterms:modified xsi:type="dcterms:W3CDTF">2026-06-21T20:07:05Z</dcterms:modified>
</cp:coreProperties>
</file>