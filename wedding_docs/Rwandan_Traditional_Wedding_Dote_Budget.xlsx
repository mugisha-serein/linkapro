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RTIN'S LAB\Downloads\"/>
    </mc:Choice>
  </mc:AlternateContent>
  <xr:revisionPtr revIDLastSave="0" documentId="13_ncr:1_{48BEABE2-E489-4EC1-B571-BD362EA425C2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Dote Budget" sheetId="1" r:id="rId1"/>
    <sheet name="Assumptions" sheetId="2" r:id="rId2"/>
  </sheets>
  <calcPr calcId="191029"/>
</workbook>
</file>

<file path=xl/calcChain.xml><?xml version="1.0" encoding="utf-8"?>
<calcChain xmlns="http://schemas.openxmlformats.org/spreadsheetml/2006/main">
  <c r="E34" i="1" l="1"/>
  <c r="E33" i="1"/>
  <c r="E32" i="1"/>
  <c r="E30" i="1"/>
  <c r="E29" i="1"/>
  <c r="E28" i="1"/>
  <c r="E27" i="1"/>
  <c r="E25" i="1"/>
  <c r="E24" i="1"/>
  <c r="E23" i="1"/>
  <c r="E22" i="1"/>
  <c r="E20" i="1"/>
  <c r="E19" i="1"/>
  <c r="E18" i="1"/>
  <c r="E17" i="1"/>
  <c r="E15" i="1"/>
  <c r="E14" i="1"/>
  <c r="E13" i="1"/>
  <c r="E12" i="1"/>
  <c r="E11" i="1"/>
  <c r="E9" i="1"/>
  <c r="E8" i="1"/>
  <c r="E7" i="1"/>
  <c r="E6" i="1"/>
  <c r="E36" i="1" l="1"/>
  <c r="E38" i="1" s="1"/>
</calcChain>
</file>

<file path=xl/sharedStrings.xml><?xml version="1.0" encoding="utf-8"?>
<sst xmlns="http://schemas.openxmlformats.org/spreadsheetml/2006/main" count="100" uniqueCount="76">
  <si>
    <t>Rwandan Traditional Wedding (Dote / Gusaba-Gukwa) Budget</t>
  </si>
  <si>
    <t>Sample mid-range budget in RWF — editable</t>
  </si>
  <si>
    <t>Category</t>
  </si>
  <si>
    <t>Item</t>
  </si>
  <si>
    <t>Qty</t>
  </si>
  <si>
    <t>Unit Cost (RWF)</t>
  </si>
  <si>
    <t>Estimated Cost (RWF)</t>
  </si>
  <si>
    <t>Notes</t>
  </si>
  <si>
    <t>1. Dowry / Family Gifts</t>
  </si>
  <si>
    <t>Dowry / Family Gifts</t>
  </si>
  <si>
    <t>Inkwano / symbolic dowry cash</t>
  </si>
  <si>
    <t>Adjust to family agreement</t>
  </si>
  <si>
    <t>Cow equivalent / family gift</t>
  </si>
  <si>
    <t>If paid in cash instead of live cow</t>
  </si>
  <si>
    <t>Gifts for parents / elders</t>
  </si>
  <si>
    <t>Clothes, envelopes, appreciation gifts</t>
  </si>
  <si>
    <t>Bride's mother gift set</t>
  </si>
  <si>
    <t>Fabric / household gift</t>
  </si>
  <si>
    <t>2. Ceremony Logistics</t>
  </si>
  <si>
    <t>Ceremony Logistics</t>
  </si>
  <si>
    <t>Tent / venue setup</t>
  </si>
  <si>
    <t>If ceremony held at home or rented compound</t>
  </si>
  <si>
    <t>Chairs &amp; tables</t>
  </si>
  <si>
    <t>Can be bundled with tent</t>
  </si>
  <si>
    <t>Decoration &amp; backdrop</t>
  </si>
  <si>
    <t>Traditional decor + stage</t>
  </si>
  <si>
    <t>Sound system / MC</t>
  </si>
  <si>
    <t>Microphones, speakers</t>
  </si>
  <si>
    <t>Generator / power backup</t>
  </si>
  <si>
    <t>Optional</t>
  </si>
  <si>
    <t>3. Food &amp; Drinks</t>
  </si>
  <si>
    <t>Food &amp; Drinks</t>
  </si>
  <si>
    <t>Catering food per guest</t>
  </si>
  <si>
    <t>Traditional meal / buffet</t>
  </si>
  <si>
    <t>Soft drinks / water per guest</t>
  </si>
  <si>
    <t>Soda + water</t>
  </si>
  <si>
    <t>Juice / extra drinks</t>
  </si>
  <si>
    <t>Cake / dessert / fruits</t>
  </si>
  <si>
    <t>4. Traditional Items &amp; Presentation</t>
  </si>
  <si>
    <t>Traditional Items &amp; Presentation</t>
  </si>
  <si>
    <t>Agaseke / gift presentation baskets</t>
  </si>
  <si>
    <t>For symbolic presentation</t>
  </si>
  <si>
    <t>Traditional dance group / entertainment</t>
  </si>
  <si>
    <t>Traditional drinks / hospitality</t>
  </si>
  <si>
    <t>Ikigage / juice / tea</t>
  </si>
  <si>
    <t>Ceremony protocol items / fines / tips</t>
  </si>
  <si>
    <t>Small cash items during ceremony</t>
  </si>
  <si>
    <t>5. Attire &amp; Beauty</t>
  </si>
  <si>
    <t>Attire &amp; Beauty</t>
  </si>
  <si>
    <t>Bride umushanana</t>
  </si>
  <si>
    <t>Tailored / rented</t>
  </si>
  <si>
    <t>Groom outfit / suit</t>
  </si>
  <si>
    <t>Traditional-compatible suit</t>
  </si>
  <si>
    <t>Makeup / hair</t>
  </si>
  <si>
    <t>Bride</t>
  </si>
  <si>
    <t>Family coordination fabric / accessories</t>
  </si>
  <si>
    <t>6. Media &amp; Transport</t>
  </si>
  <si>
    <t>Media &amp; Transport</t>
  </si>
  <si>
    <t>Photography</t>
  </si>
  <si>
    <t>Half day / full event</t>
  </si>
  <si>
    <t>Videography</t>
  </si>
  <si>
    <t>Transport for groom delegation</t>
  </si>
  <si>
    <t>Fuel / van / cars</t>
  </si>
  <si>
    <t>7. Buffer</t>
  </si>
  <si>
    <t>Buffer</t>
  </si>
  <si>
    <t>Contingency (about 10%)</t>
  </si>
  <si>
    <t>Formula below</t>
  </si>
  <si>
    <t>TOTAL ESTIMATED BUDGET</t>
  </si>
  <si>
    <t>Field</t>
  </si>
  <si>
    <t>Value</t>
  </si>
  <si>
    <t>Guest count</t>
  </si>
  <si>
    <t>Budget style</t>
  </si>
  <si>
    <t>Mid-range / Kigali-style traditional ceremony</t>
  </si>
  <si>
    <t>Currency</t>
  </si>
  <si>
    <t>RWF</t>
  </si>
  <si>
    <t>All amounts are editable estimates. Replace with your family's agreed dowry, actual guest count, and vendor quotes.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</si>
</sst>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1"/>
      <color rgb="FFFFFFFF"/>
      <name val="Century Gothic"/>
      <family val="2"/>
    </font>
    <font>
      <b/>
      <sz val="1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/>
    <xf numFmtId="3" fontId="3" fillId="0" borderId="1" xfId="0" applyNumberFormat="1" applyFont="1" applyBorder="1"/>
    <xf numFmtId="3" fontId="3" fillId="0" borderId="1" xfId="0" applyNumberFormat="1" applyFont="1" applyBorder="1"/>
    <xf numFmtId="0" fontId="5" fillId="4" borderId="1" xfId="0" applyFont="1" applyFill="1" applyBorder="1"/>
    <xf numFmtId="3" fontId="5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topLeftCell="A10" workbookViewId="0">
      <selection activeCell="E17" sqref="E17"/>
    </sheetView>
  </sheetViews>
  <sheetFormatPr defaultRowHeight="16.5" x14ac:dyDescent="0.3"/>
  <cols>
    <col min="1" max="1" width="34.85546875" style="5" customWidth="1"/>
    <col min="2" max="2" width="49" style="5" customWidth="1"/>
    <col min="3" max="5" width="24" style="5" customWidth="1"/>
    <col min="6" max="6" width="51.85546875" style="5" customWidth="1"/>
    <col min="7" max="16384" width="9.140625" style="5"/>
  </cols>
  <sheetData>
    <row r="1" spans="1:6" ht="18.75" x14ac:dyDescent="0.3">
      <c r="A1" s="3" t="s">
        <v>0</v>
      </c>
      <c r="B1" s="4"/>
      <c r="C1" s="4"/>
      <c r="D1" s="4"/>
      <c r="E1" s="4"/>
      <c r="F1" s="4"/>
    </row>
    <row r="2" spans="1:6" x14ac:dyDescent="0.3">
      <c r="A2" s="4" t="s">
        <v>1</v>
      </c>
      <c r="B2" s="4"/>
      <c r="C2" s="4"/>
      <c r="D2" s="4"/>
      <c r="E2" s="4"/>
      <c r="F2" s="4"/>
    </row>
    <row r="3" spans="1:6" x14ac:dyDescent="0.3">
      <c r="A3" s="6"/>
      <c r="B3" s="6"/>
      <c r="C3" s="6"/>
      <c r="D3" s="6"/>
      <c r="E3" s="6"/>
      <c r="F3" s="6"/>
    </row>
    <row r="4" spans="1:6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</row>
    <row r="5" spans="1:6" x14ac:dyDescent="0.3">
      <c r="A5" s="8" t="s">
        <v>8</v>
      </c>
      <c r="B5" s="4"/>
      <c r="C5" s="4"/>
      <c r="D5" s="9"/>
      <c r="E5" s="9"/>
      <c r="F5" s="4"/>
    </row>
    <row r="6" spans="1:6" x14ac:dyDescent="0.3">
      <c r="A6" s="6" t="s">
        <v>9</v>
      </c>
      <c r="B6" s="6" t="s">
        <v>10</v>
      </c>
      <c r="C6" s="6">
        <v>1</v>
      </c>
      <c r="D6" s="10">
        <v>1500000</v>
      </c>
      <c r="E6" s="10">
        <f>C6*D6</f>
        <v>1500000</v>
      </c>
      <c r="F6" s="6" t="s">
        <v>11</v>
      </c>
    </row>
    <row r="7" spans="1:6" x14ac:dyDescent="0.3">
      <c r="A7" s="6" t="s">
        <v>9</v>
      </c>
      <c r="B7" s="6" t="s">
        <v>12</v>
      </c>
      <c r="C7" s="6">
        <v>1</v>
      </c>
      <c r="D7" s="10">
        <v>800000</v>
      </c>
      <c r="E7" s="10">
        <f>C7*D7</f>
        <v>800000</v>
      </c>
      <c r="F7" s="6" t="s">
        <v>13</v>
      </c>
    </row>
    <row r="8" spans="1:6" x14ac:dyDescent="0.3">
      <c r="A8" s="6" t="s">
        <v>9</v>
      </c>
      <c r="B8" s="6" t="s">
        <v>14</v>
      </c>
      <c r="C8" s="6">
        <v>1</v>
      </c>
      <c r="D8" s="10">
        <v>300000</v>
      </c>
      <c r="E8" s="10">
        <f>C8*D8</f>
        <v>300000</v>
      </c>
      <c r="F8" s="6" t="s">
        <v>15</v>
      </c>
    </row>
    <row r="9" spans="1:6" x14ac:dyDescent="0.3">
      <c r="A9" s="6" t="s">
        <v>9</v>
      </c>
      <c r="B9" s="6" t="s">
        <v>16</v>
      </c>
      <c r="C9" s="6">
        <v>1</v>
      </c>
      <c r="D9" s="10">
        <v>200000</v>
      </c>
      <c r="E9" s="10">
        <f>C9*D9</f>
        <v>200000</v>
      </c>
      <c r="F9" s="6" t="s">
        <v>17</v>
      </c>
    </row>
    <row r="10" spans="1:6" x14ac:dyDescent="0.3">
      <c r="A10" s="8" t="s">
        <v>18</v>
      </c>
      <c r="B10" s="4"/>
      <c r="C10" s="4"/>
      <c r="D10" s="9"/>
      <c r="E10" s="9"/>
      <c r="F10" s="4"/>
    </row>
    <row r="11" spans="1:6" x14ac:dyDescent="0.3">
      <c r="A11" s="6" t="s">
        <v>19</v>
      </c>
      <c r="B11" s="6" t="s">
        <v>20</v>
      </c>
      <c r="C11" s="6">
        <v>1</v>
      </c>
      <c r="D11" s="10">
        <v>600000</v>
      </c>
      <c r="E11" s="10">
        <f>C11*D11</f>
        <v>600000</v>
      </c>
      <c r="F11" s="6" t="s">
        <v>21</v>
      </c>
    </row>
    <row r="12" spans="1:6" x14ac:dyDescent="0.3">
      <c r="A12" s="6" t="s">
        <v>19</v>
      </c>
      <c r="B12" s="6" t="s">
        <v>22</v>
      </c>
      <c r="C12" s="6">
        <v>150</v>
      </c>
      <c r="D12" s="10">
        <v>2500</v>
      </c>
      <c r="E12" s="10">
        <f>C12*D12</f>
        <v>375000</v>
      </c>
      <c r="F12" s="6" t="s">
        <v>23</v>
      </c>
    </row>
    <row r="13" spans="1:6" x14ac:dyDescent="0.3">
      <c r="A13" s="6" t="s">
        <v>19</v>
      </c>
      <c r="B13" s="6" t="s">
        <v>24</v>
      </c>
      <c r="C13" s="6">
        <v>1</v>
      </c>
      <c r="D13" s="10">
        <v>450000</v>
      </c>
      <c r="E13" s="10">
        <f>C13*D13</f>
        <v>450000</v>
      </c>
      <c r="F13" s="6" t="s">
        <v>25</v>
      </c>
    </row>
    <row r="14" spans="1:6" x14ac:dyDescent="0.3">
      <c r="A14" s="6" t="s">
        <v>19</v>
      </c>
      <c r="B14" s="6" t="s">
        <v>26</v>
      </c>
      <c r="C14" s="6">
        <v>1</v>
      </c>
      <c r="D14" s="10">
        <v>500000</v>
      </c>
      <c r="E14" s="10">
        <f>C14*D14</f>
        <v>500000</v>
      </c>
      <c r="F14" s="6" t="s">
        <v>27</v>
      </c>
    </row>
    <row r="15" spans="1:6" x14ac:dyDescent="0.3">
      <c r="A15" s="6" t="s">
        <v>19</v>
      </c>
      <c r="B15" s="6" t="s">
        <v>28</v>
      </c>
      <c r="C15" s="6">
        <v>1</v>
      </c>
      <c r="D15" s="10">
        <v>120000</v>
      </c>
      <c r="E15" s="10">
        <f>C15*D15</f>
        <v>120000</v>
      </c>
      <c r="F15" s="6" t="s">
        <v>29</v>
      </c>
    </row>
    <row r="16" spans="1:6" x14ac:dyDescent="0.3">
      <c r="A16" s="8" t="s">
        <v>30</v>
      </c>
      <c r="B16" s="4"/>
      <c r="C16" s="4"/>
      <c r="D16" s="9"/>
      <c r="E16" s="9"/>
      <c r="F16" s="4"/>
    </row>
    <row r="17" spans="1:6" x14ac:dyDescent="0.3">
      <c r="A17" s="6" t="s">
        <v>31</v>
      </c>
      <c r="B17" s="6" t="s">
        <v>32</v>
      </c>
      <c r="C17" s="6">
        <v>150</v>
      </c>
      <c r="D17" s="10">
        <v>12000</v>
      </c>
      <c r="E17" s="10">
        <f>C17*D17</f>
        <v>1800000</v>
      </c>
      <c r="F17" s="6" t="s">
        <v>33</v>
      </c>
    </row>
    <row r="18" spans="1:6" x14ac:dyDescent="0.3">
      <c r="A18" s="6" t="s">
        <v>31</v>
      </c>
      <c r="B18" s="6" t="s">
        <v>34</v>
      </c>
      <c r="C18" s="6">
        <v>150</v>
      </c>
      <c r="D18" s="10">
        <v>3000</v>
      </c>
      <c r="E18" s="10">
        <f>C18*D18</f>
        <v>450000</v>
      </c>
      <c r="F18" s="6" t="s">
        <v>35</v>
      </c>
    </row>
    <row r="19" spans="1:6" x14ac:dyDescent="0.3">
      <c r="A19" s="6" t="s">
        <v>31</v>
      </c>
      <c r="B19" s="6" t="s">
        <v>36</v>
      </c>
      <c r="C19" s="6">
        <v>150</v>
      </c>
      <c r="D19" s="10">
        <v>2000</v>
      </c>
      <c r="E19" s="10">
        <f>C19*D19</f>
        <v>300000</v>
      </c>
      <c r="F19" s="6" t="s">
        <v>29</v>
      </c>
    </row>
    <row r="20" spans="1:6" x14ac:dyDescent="0.3">
      <c r="A20" s="6" t="s">
        <v>31</v>
      </c>
      <c r="B20" s="6" t="s">
        <v>37</v>
      </c>
      <c r="C20" s="6">
        <v>1</v>
      </c>
      <c r="D20" s="10">
        <v>250000</v>
      </c>
      <c r="E20" s="10">
        <f>C20*D20</f>
        <v>250000</v>
      </c>
      <c r="F20" s="6" t="s">
        <v>29</v>
      </c>
    </row>
    <row r="21" spans="1:6" x14ac:dyDescent="0.3">
      <c r="A21" s="8" t="s">
        <v>38</v>
      </c>
      <c r="B21" s="4"/>
      <c r="C21" s="4"/>
      <c r="D21" s="9"/>
      <c r="E21" s="9"/>
      <c r="F21" s="4"/>
    </row>
    <row r="22" spans="1:6" x14ac:dyDescent="0.3">
      <c r="A22" s="6" t="s">
        <v>39</v>
      </c>
      <c r="B22" s="6" t="s">
        <v>40</v>
      </c>
      <c r="C22" s="6">
        <v>4</v>
      </c>
      <c r="D22" s="10">
        <v>25000</v>
      </c>
      <c r="E22" s="10">
        <f>C22*D22</f>
        <v>100000</v>
      </c>
      <c r="F22" s="6" t="s">
        <v>41</v>
      </c>
    </row>
    <row r="23" spans="1:6" x14ac:dyDescent="0.3">
      <c r="A23" s="6" t="s">
        <v>39</v>
      </c>
      <c r="B23" s="6" t="s">
        <v>42</v>
      </c>
      <c r="C23" s="6">
        <v>1</v>
      </c>
      <c r="D23" s="10">
        <v>350000</v>
      </c>
      <c r="E23" s="10">
        <f>C23*D23</f>
        <v>350000</v>
      </c>
      <c r="F23" s="6" t="s">
        <v>29</v>
      </c>
    </row>
    <row r="24" spans="1:6" x14ac:dyDescent="0.3">
      <c r="A24" s="6" t="s">
        <v>39</v>
      </c>
      <c r="B24" s="6" t="s">
        <v>43</v>
      </c>
      <c r="C24" s="6">
        <v>1</v>
      </c>
      <c r="D24" s="10">
        <v>150000</v>
      </c>
      <c r="E24" s="10">
        <f>C24*D24</f>
        <v>150000</v>
      </c>
      <c r="F24" s="6" t="s">
        <v>44</v>
      </c>
    </row>
    <row r="25" spans="1:6" x14ac:dyDescent="0.3">
      <c r="A25" s="6" t="s">
        <v>39</v>
      </c>
      <c r="B25" s="6" t="s">
        <v>45</v>
      </c>
      <c r="C25" s="6">
        <v>1</v>
      </c>
      <c r="D25" s="10">
        <v>100000</v>
      </c>
      <c r="E25" s="10">
        <f>C25*D25</f>
        <v>100000</v>
      </c>
      <c r="F25" s="6" t="s">
        <v>46</v>
      </c>
    </row>
    <row r="26" spans="1:6" x14ac:dyDescent="0.3">
      <c r="A26" s="8" t="s">
        <v>47</v>
      </c>
      <c r="B26" s="4"/>
      <c r="C26" s="4"/>
      <c r="D26" s="9"/>
      <c r="E26" s="9"/>
      <c r="F26" s="4"/>
    </row>
    <row r="27" spans="1:6" x14ac:dyDescent="0.3">
      <c r="A27" s="6" t="s">
        <v>48</v>
      </c>
      <c r="B27" s="6" t="s">
        <v>49</v>
      </c>
      <c r="C27" s="6">
        <v>1</v>
      </c>
      <c r="D27" s="10">
        <v>250000</v>
      </c>
      <c r="E27" s="10">
        <f>C27*D27</f>
        <v>250000</v>
      </c>
      <c r="F27" s="6" t="s">
        <v>50</v>
      </c>
    </row>
    <row r="28" spans="1:6" x14ac:dyDescent="0.3">
      <c r="A28" s="6" t="s">
        <v>48</v>
      </c>
      <c r="B28" s="6" t="s">
        <v>51</v>
      </c>
      <c r="C28" s="6">
        <v>1</v>
      </c>
      <c r="D28" s="10">
        <v>220000</v>
      </c>
      <c r="E28" s="10">
        <f>C28*D28</f>
        <v>220000</v>
      </c>
      <c r="F28" s="6" t="s">
        <v>52</v>
      </c>
    </row>
    <row r="29" spans="1:6" x14ac:dyDescent="0.3">
      <c r="A29" s="6" t="s">
        <v>48</v>
      </c>
      <c r="B29" s="6" t="s">
        <v>53</v>
      </c>
      <c r="C29" s="6">
        <v>1</v>
      </c>
      <c r="D29" s="10">
        <v>150000</v>
      </c>
      <c r="E29" s="10">
        <f>C29*D29</f>
        <v>150000</v>
      </c>
      <c r="F29" s="6" t="s">
        <v>54</v>
      </c>
    </row>
    <row r="30" spans="1:6" x14ac:dyDescent="0.3">
      <c r="A30" s="6" t="s">
        <v>48</v>
      </c>
      <c r="B30" s="6" t="s">
        <v>55</v>
      </c>
      <c r="C30" s="6">
        <v>1</v>
      </c>
      <c r="D30" s="10">
        <v>200000</v>
      </c>
      <c r="E30" s="10">
        <f>C30*D30</f>
        <v>200000</v>
      </c>
      <c r="F30" s="6" t="s">
        <v>29</v>
      </c>
    </row>
    <row r="31" spans="1:6" x14ac:dyDescent="0.3">
      <c r="A31" s="8" t="s">
        <v>56</v>
      </c>
      <c r="B31" s="4"/>
      <c r="C31" s="4"/>
      <c r="D31" s="9"/>
      <c r="E31" s="9"/>
      <c r="F31" s="4"/>
    </row>
    <row r="32" spans="1:6" x14ac:dyDescent="0.3">
      <c r="A32" s="6" t="s">
        <v>57</v>
      </c>
      <c r="B32" s="6" t="s">
        <v>58</v>
      </c>
      <c r="C32" s="6">
        <v>1</v>
      </c>
      <c r="D32" s="10">
        <v>300000</v>
      </c>
      <c r="E32" s="10">
        <f>C32*D32</f>
        <v>300000</v>
      </c>
      <c r="F32" s="6" t="s">
        <v>59</v>
      </c>
    </row>
    <row r="33" spans="1:6" x14ac:dyDescent="0.3">
      <c r="A33" s="6" t="s">
        <v>57</v>
      </c>
      <c r="B33" s="6" t="s">
        <v>60</v>
      </c>
      <c r="C33" s="6">
        <v>1</v>
      </c>
      <c r="D33" s="10">
        <v>350000</v>
      </c>
      <c r="E33" s="10">
        <f>C33*D33</f>
        <v>350000</v>
      </c>
      <c r="F33" s="6" t="s">
        <v>29</v>
      </c>
    </row>
    <row r="34" spans="1:6" x14ac:dyDescent="0.3">
      <c r="A34" s="6" t="s">
        <v>57</v>
      </c>
      <c r="B34" s="6" t="s">
        <v>61</v>
      </c>
      <c r="C34" s="6">
        <v>1</v>
      </c>
      <c r="D34" s="10">
        <v>250000</v>
      </c>
      <c r="E34" s="10">
        <f>C34*D34</f>
        <v>250000</v>
      </c>
      <c r="F34" s="6" t="s">
        <v>62</v>
      </c>
    </row>
    <row r="35" spans="1:6" x14ac:dyDescent="0.3">
      <c r="A35" s="8" t="s">
        <v>63</v>
      </c>
      <c r="B35" s="4"/>
      <c r="C35" s="4"/>
      <c r="D35" s="9"/>
      <c r="E35" s="9"/>
      <c r="F35" s="4"/>
    </row>
    <row r="36" spans="1:6" x14ac:dyDescent="0.3">
      <c r="A36" s="6" t="s">
        <v>64</v>
      </c>
      <c r="B36" s="6" t="s">
        <v>65</v>
      </c>
      <c r="C36" s="6">
        <v>1</v>
      </c>
      <c r="D36" s="10">
        <v>0</v>
      </c>
      <c r="E36" s="10">
        <f>SUM(E5:E35)*10%</f>
        <v>1006500</v>
      </c>
      <c r="F36" s="6" t="s">
        <v>66</v>
      </c>
    </row>
    <row r="37" spans="1:6" x14ac:dyDescent="0.3">
      <c r="A37" s="6"/>
      <c r="B37" s="6"/>
      <c r="C37" s="6"/>
      <c r="D37" s="10"/>
      <c r="E37" s="10"/>
      <c r="F37" s="6"/>
    </row>
    <row r="38" spans="1:6" x14ac:dyDescent="0.3">
      <c r="A38" s="11" t="s">
        <v>67</v>
      </c>
      <c r="B38" s="6"/>
      <c r="C38" s="6"/>
      <c r="D38" s="10"/>
      <c r="E38" s="12">
        <f>SUM(E5:E36)</f>
        <v>11071500</v>
      </c>
      <c r="F38" s="6"/>
    </row>
  </sheetData>
  <mergeCells count="9">
    <mergeCell ref="A31:F31"/>
    <mergeCell ref="A35:F35"/>
    <mergeCell ref="A26:F26"/>
    <mergeCell ref="A21:F21"/>
    <mergeCell ref="A2:F2"/>
    <mergeCell ref="A16:F16"/>
    <mergeCell ref="A10:F10"/>
    <mergeCell ref="A1:F1"/>
    <mergeCell ref="A5:F5"/>
  </mergeCells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cols>
    <col min="1" max="2" width="24" customWidth="1"/>
  </cols>
  <sheetData>
    <row r="1" spans="1:2" x14ac:dyDescent="0.25">
      <c r="A1" s="2" t="s">
        <v>68</v>
      </c>
      <c r="B1" s="2" t="s">
        <v>69</v>
      </c>
    </row>
    <row r="2" spans="1:2" x14ac:dyDescent="0.25">
      <c r="A2" s="1" t="s">
        <v>70</v>
      </c>
      <c r="B2" s="1">
        <v>150</v>
      </c>
    </row>
    <row r="3" spans="1:2" x14ac:dyDescent="0.25">
      <c r="A3" s="1" t="s">
        <v>71</v>
      </c>
      <c r="B3" s="1" t="s">
        <v>72</v>
      </c>
    </row>
    <row r="4" spans="1:2" x14ac:dyDescent="0.25">
      <c r="A4" s="1" t="s">
        <v>73</v>
      </c>
      <c r="B4" s="1" t="s">
        <v>74</v>
      </c>
    </row>
    <row r="5" spans="1:2" x14ac:dyDescent="0.25">
      <c r="A5" s="1" t="s">
        <v>7</v>
      </c>
      <c r="B5" s="1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Dote Budget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MARTIN'S LAB</cp:lastModifiedBy>
  <dcterms:created xsi:type="dcterms:W3CDTF">2026-06-21T20:09:46Z</dcterms:created>
  <dcterms:modified xsi:type="dcterms:W3CDTF">2026-06-21T20:14:29Z</dcterms:modified>
</cp:coreProperties>
</file>